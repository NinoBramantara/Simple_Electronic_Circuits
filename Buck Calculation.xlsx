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ITS\Evolution\"/>
    </mc:Choice>
  </mc:AlternateContent>
  <xr:revisionPtr revIDLastSave="0" documentId="13_ncr:1_{1E3B4A60-DB00-4666-B760-6145BA19279D}" xr6:coauthVersionLast="47" xr6:coauthVersionMax="47" xr10:uidLastSave="{00000000-0000-0000-0000-000000000000}"/>
  <bookViews>
    <workbookView xWindow="-120" yWindow="-120" windowWidth="29040" windowHeight="16440" activeTab="2" xr2:uid="{45E82CB3-6667-4FE0-9A6D-F49221026C33}"/>
  </bookViews>
  <sheets>
    <sheet name="BUCK" sheetId="1" r:id="rId1"/>
    <sheet name="NE555 (Astable Mode)" sheetId="2" r:id="rId2"/>
    <sheet name="NE555 (PWM Mode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 s="1"/>
  <c r="O5" i="3" s="1"/>
  <c r="O6" i="3" s="1"/>
  <c r="O9" i="3" s="1"/>
  <c r="G9" i="2"/>
  <c r="G8" i="2"/>
  <c r="G7" i="2"/>
  <c r="G5" i="2"/>
  <c r="G6" i="2" s="1"/>
  <c r="G14" i="2" s="1"/>
  <c r="H4" i="1"/>
  <c r="H15" i="1"/>
  <c r="C11" i="1"/>
  <c r="O7" i="3" l="1"/>
  <c r="O8" i="3"/>
  <c r="G10" i="3"/>
  <c r="H6" i="1"/>
  <c r="H7" i="1" s="1"/>
  <c r="H13" i="1" s="1"/>
  <c r="I13" i="1" s="1"/>
  <c r="H16" i="1" l="1"/>
  <c r="I16" i="1" s="1"/>
  <c r="I6" i="1"/>
  <c r="H8" i="1"/>
  <c r="H10" i="1"/>
  <c r="H17" i="1"/>
</calcChain>
</file>

<file path=xl/sharedStrings.xml><?xml version="1.0" encoding="utf-8"?>
<sst xmlns="http://schemas.openxmlformats.org/spreadsheetml/2006/main" count="106" uniqueCount="58">
  <si>
    <t>Vin</t>
  </si>
  <si>
    <t>Vout</t>
  </si>
  <si>
    <t>Iout</t>
  </si>
  <si>
    <t>Fsw</t>
  </si>
  <si>
    <t>V</t>
  </si>
  <si>
    <t>Hz</t>
  </si>
  <si>
    <t>A</t>
  </si>
  <si>
    <t>Duty Cycle</t>
  </si>
  <si>
    <t>Reference</t>
  </si>
  <si>
    <t>https://passive-components.eu/buck-converter-design-and-calculation/</t>
  </si>
  <si>
    <t>Ripple Current Factor</t>
  </si>
  <si>
    <t>Min Inductance</t>
  </si>
  <si>
    <t>Ripple Current</t>
  </si>
  <si>
    <t>Isat</t>
  </si>
  <si>
    <t>Irms in Input Cap</t>
  </si>
  <si>
    <t>Output Cap Ripple Voltage</t>
  </si>
  <si>
    <t>uF</t>
  </si>
  <si>
    <t>Inductor</t>
  </si>
  <si>
    <t>Min Cap</t>
  </si>
  <si>
    <t>Countering Vripple</t>
  </si>
  <si>
    <t>Countering Voltage Drop</t>
  </si>
  <si>
    <t>Istep</t>
  </si>
  <si>
    <t>Max Output Voltage Drop</t>
  </si>
  <si>
    <t>Irms on output Cap</t>
  </si>
  <si>
    <t>Output Capacitor</t>
  </si>
  <si>
    <t>Variable</t>
  </si>
  <si>
    <t>Val</t>
  </si>
  <si>
    <t>Unit</t>
  </si>
  <si>
    <t>Input Capacitor</t>
  </si>
  <si>
    <t>Min Cstep</t>
  </si>
  <si>
    <t>INPUT DATA</t>
  </si>
  <si>
    <t>OUTPUT DATA</t>
  </si>
  <si>
    <t>uH</t>
  </si>
  <si>
    <t>INPUT</t>
  </si>
  <si>
    <t>Freq</t>
  </si>
  <si>
    <t>C</t>
  </si>
  <si>
    <t>nF</t>
  </si>
  <si>
    <t>Var</t>
  </si>
  <si>
    <t>RB</t>
  </si>
  <si>
    <t>ohm</t>
  </si>
  <si>
    <t>OUTPUT</t>
  </si>
  <si>
    <t>f</t>
  </si>
  <si>
    <t>F</t>
  </si>
  <si>
    <t>Ra</t>
  </si>
  <si>
    <t>Forward Voltage of Diode(1N5822)</t>
  </si>
  <si>
    <t>Check Calc Integrity</t>
  </si>
  <si>
    <t>NE555 CALCULATION (Astable)</t>
  </si>
  <si>
    <t>NE555 CALCULATION (PWM Mode)</t>
  </si>
  <si>
    <t>Rpot</t>
  </si>
  <si>
    <t>Th</t>
  </si>
  <si>
    <t>Tl</t>
  </si>
  <si>
    <t>s</t>
  </si>
  <si>
    <t>D</t>
  </si>
  <si>
    <t>Duty Cycle Calculator</t>
  </si>
  <si>
    <t>R1</t>
  </si>
  <si>
    <t>R2</t>
  </si>
  <si>
    <t>Buck Converter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</si>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</sst>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0" xfId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86798</xdr:colOff>
      <xdr:row>18</xdr:row>
      <xdr:rowOff>76864</xdr:rowOff>
    </xdr:from>
    <xdr:to>
      <xdr:col>8</xdr:col>
      <xdr:colOff>373980</xdr:colOff>
      <xdr:row>23</xdr:row>
      <xdr:rowOff>67472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DB4EB8-454A-E228-668C-60ED5FF57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1470" y="3551847"/>
          <a:ext cx="2914768" cy="943108"/>
        </a:xfrm>
        <a:prstGeom prst="rect">
          <a:avLst/>
        </a:prstGeom>
      </xdr:spPr>
    </xdr:pic>
    <xdr:clientData/>
  </xdr:twoCellAnchor>
  <xdr:twoCellAnchor editAs="oneCell">
    <xdr:from>
      <xdr:col>0</xdr:col>
      <xdr:colOff>526879</xdr:colOff>
      <xdr:row>14</xdr:row>
      <xdr:rowOff>78267</xdr:rowOff>
    </xdr:from>
    <xdr:to>
      <xdr:col>5</xdr:col>
      <xdr:colOff>72179</xdr:colOff>
      <xdr:row>23</xdr:row>
      <xdr:rowOff>158184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5C0660-8EE7-EB50-4A6F-DBEE9FAA5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6879" y="2791250"/>
          <a:ext cx="4314369" cy="1794417"/>
        </a:xfrm>
        <a:prstGeom prst="rect">
          <a:avLst/>
        </a:prstGeom>
      </xdr:spPr>
    </xdr:pic>
    <xdr:clientData/>
  </xdr:twoCellAnchor>
  <xdr:twoCellAnchor editAs="oneCell">
    <xdr:from>
      <xdr:col>10</xdr:col>
      <xdr:colOff>532086</xdr:colOff>
      <xdr:row>1</xdr:row>
      <xdr:rowOff>85396</xdr:rowOff>
    </xdr:from>
    <xdr:to>
      <xdr:col>12</xdr:col>
      <xdr:colOff>459828</xdr:colOff>
      <xdr:row>3</xdr:row>
      <xdr:rowOff>183274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D599C3-DFFE-27D8-3953-FBC184003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61927"/>
        <a:stretch/>
      </xdr:blipFill>
      <xdr:spPr>
        <a:xfrm>
          <a:off x="9163707" y="275896"/>
          <a:ext cx="1149569" cy="590550"/>
        </a:xfrm>
        <a:prstGeom prst="rect">
          <a:avLst/>
        </a:prstGeom>
      </xdr:spPr>
    </xdr:pic>
    <xdr:clientData/>
  </xdr:twoCellAnchor>
  <xdr:twoCellAnchor editAs="oneCell">
    <xdr:from>
      <xdr:col>10</xdr:col>
      <xdr:colOff>512379</xdr:colOff>
      <xdr:row>4</xdr:row>
      <xdr:rowOff>111672</xdr:rowOff>
    </xdr:from>
    <xdr:to>
      <xdr:col>14</xdr:col>
      <xdr:colOff>78827</xdr:colOff>
      <xdr:row>7</xdr:row>
      <xdr:rowOff>111672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3BDECE-8815-AA72-55C3-27B736D9BE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62715"/>
        <a:stretch/>
      </xdr:blipFill>
      <xdr:spPr>
        <a:xfrm>
          <a:off x="9144000" y="919655"/>
          <a:ext cx="2010103" cy="5715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124810</xdr:colOff>
      <xdr:row>8</xdr:row>
      <xdr:rowOff>151085</xdr:rowOff>
    </xdr:from>
    <xdr:to>
      <xdr:col>13</xdr:col>
      <xdr:colOff>335017</xdr:colOff>
      <xdr:row>11</xdr:row>
      <xdr:rowOff>179660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3CFF91-08D5-301C-9023-1A4D2A64E8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65753"/>
        <a:stretch/>
      </xdr:blipFill>
      <xdr:spPr>
        <a:xfrm>
          <a:off x="9367344" y="1721068"/>
          <a:ext cx="1432035" cy="600075"/>
        </a:xfrm>
        <a:prstGeom prst="rect">
          <a:avLst/>
        </a:prstGeom>
      </xdr:spPr>
    </xdr:pic>
    <xdr:clientData/>
  </xdr:twoCellAnchor>
  <xdr:twoCellAnchor editAs="oneCell">
    <xdr:from>
      <xdr:col>11</xdr:col>
      <xdr:colOff>249621</xdr:colOff>
      <xdr:row>13</xdr:row>
      <xdr:rowOff>72259</xdr:rowOff>
    </xdr:from>
    <xdr:to>
      <xdr:col>13</xdr:col>
      <xdr:colOff>78828</xdr:colOff>
      <xdr:row>16</xdr:row>
      <xdr:rowOff>34159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BA1B40-156B-6D9D-4BA8-D360F6FC9E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66255"/>
        <a:stretch/>
      </xdr:blipFill>
      <xdr:spPr>
        <a:xfrm>
          <a:off x="9492155" y="2594742"/>
          <a:ext cx="1051035" cy="533400"/>
        </a:xfrm>
        <a:prstGeom prst="rect">
          <a:avLst/>
        </a:prstGeom>
      </xdr:spPr>
    </xdr:pic>
    <xdr:clientData/>
  </xdr:twoCellAnchor>
  <xdr:twoCellAnchor editAs="oneCell">
    <xdr:from>
      <xdr:col>11</xdr:col>
      <xdr:colOff>98536</xdr:colOff>
      <xdr:row>16</xdr:row>
      <xdr:rowOff>157656</xdr:rowOff>
    </xdr:from>
    <xdr:to>
      <xdr:col>13</xdr:col>
      <xdr:colOff>591208</xdr:colOff>
      <xdr:row>20</xdr:row>
      <xdr:rowOff>157656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08CAB5-32ED-49CD-A8DE-9359DCC603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62887"/>
        <a:stretch/>
      </xdr:blipFill>
      <xdr:spPr>
        <a:xfrm>
          <a:off x="9341070" y="3251639"/>
          <a:ext cx="1714500" cy="762000"/>
        </a:xfrm>
        <a:prstGeom prst="rect">
          <a:avLst/>
        </a:prstGeom>
      </xdr:spPr>
    </xdr:pic>
    <xdr:clientData/>
  </xdr:twoCellAnchor>
  <xdr:twoCellAnchor editAs="oneCell">
    <xdr:from>
      <xdr:col>11</xdr:col>
      <xdr:colOff>91967</xdr:colOff>
      <xdr:row>21</xdr:row>
      <xdr:rowOff>85397</xdr:rowOff>
    </xdr:from>
    <xdr:to>
      <xdr:col>13</xdr:col>
      <xdr:colOff>584639</xdr:colOff>
      <xdr:row>24</xdr:row>
      <xdr:rowOff>18722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3F1928F-7EF3-B678-B1E8-73F558C337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r="59732"/>
        <a:stretch/>
      </xdr:blipFill>
      <xdr:spPr>
        <a:xfrm>
          <a:off x="9334501" y="4131880"/>
          <a:ext cx="1714500" cy="504825"/>
        </a:xfrm>
        <a:prstGeom prst="rect">
          <a:avLst/>
        </a:prstGeom>
      </xdr:spPr>
    </xdr:pic>
    <xdr:clientData/>
  </xdr:twoCellAnchor>
  <xdr:twoCellAnchor editAs="oneCell">
    <xdr:from>
      <xdr:col>11</xdr:col>
      <xdr:colOff>243054</xdr:colOff>
      <xdr:row>25</xdr:row>
      <xdr:rowOff>177364</xdr:rowOff>
    </xdr:from>
    <xdr:to>
      <xdr:col>12</xdr:col>
      <xdr:colOff>538656</xdr:colOff>
      <xdr:row>28</xdr:row>
      <xdr:rowOff>158314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D63CCD-5D3E-45EB-3981-D72A0A74D0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60509"/>
        <a:stretch/>
      </xdr:blipFill>
      <xdr:spPr>
        <a:xfrm>
          <a:off x="9485588" y="4985847"/>
          <a:ext cx="906516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35809</xdr:colOff>
      <xdr:row>1</xdr:row>
      <xdr:rowOff>193364</xdr:rowOff>
    </xdr:from>
    <xdr:to>
      <xdr:col>14</xdr:col>
      <xdr:colOff>102484</xdr:colOff>
      <xdr:row>7</xdr:row>
      <xdr:rowOff>80855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348CE7-92DE-3D97-58A9-DC5231FEB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4474" y="386729"/>
          <a:ext cx="3110378" cy="1090649"/>
        </a:xfrm>
        <a:prstGeom prst="rect">
          <a:avLst/>
        </a:prstGeom>
      </xdr:spPr>
    </xdr:pic>
    <xdr:clientData/>
  </xdr:twoCellAnchor>
  <xdr:twoCellAnchor editAs="oneCell">
    <xdr:from>
      <xdr:col>9</xdr:col>
      <xdr:colOff>93031</xdr:colOff>
      <xdr:row>9</xdr:row>
      <xdr:rowOff>161925</xdr:rowOff>
    </xdr:from>
    <xdr:to>
      <xdr:col>18</xdr:col>
      <xdr:colOff>538055</xdr:colOff>
      <xdr:row>25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68BD6A-9A47-5C6B-D801-368157315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1696" y="1945177"/>
          <a:ext cx="6031115" cy="2941435"/>
        </a:xfrm>
        <a:prstGeom prst="rect">
          <a:avLst/>
        </a:prstGeom>
      </xdr:spPr>
    </xdr:pic>
    <xdr:clientData/>
  </xdr:twoCellAnchor>
  <xdr:oneCellAnchor>
    <xdr:from>
      <xdr:col>0</xdr:col>
      <xdr:colOff>384294</xdr:colOff>
      <xdr:row>12</xdr:row>
      <xdr:rowOff>36954</xdr:rowOff>
    </xdr:from>
    <xdr:ext cx="1174681" cy="3480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03E9A03-0B87-1D45-38AF-FD06289C7F17}"/>
                </a:ext>
              </a:extLst>
            </xdr:cNvPr>
            <xdr:cNvSpPr txBox="1"/>
          </xdr:nvSpPr>
          <xdr:spPr>
            <a:xfrm>
              <a:off x="384294" y="2357330"/>
              <a:ext cx="1174681" cy="34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1.44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+2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den>
                    </m:f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03E9A03-0B87-1D45-38AF-FD06289C7F17}"/>
                </a:ext>
              </a:extLst>
            </xdr:cNvPr>
            <xdr:cNvSpPr txBox="1"/>
          </xdr:nvSpPr>
          <xdr:spPr>
            <a:xfrm>
              <a:off x="384294" y="2357330"/>
              <a:ext cx="1174681" cy="34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𝑓=1.44/(〖(𝑅〗_𝐴+2𝑅_𝐵)×𝐶)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0</xdr:col>
      <xdr:colOff>287040</xdr:colOff>
      <xdr:row>15</xdr:row>
      <xdr:rowOff>48313</xdr:rowOff>
    </xdr:from>
    <xdr:ext cx="1358834" cy="519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E5F060A-3661-3E01-592F-F72DA7ECD091}"/>
                </a:ext>
              </a:extLst>
            </xdr:cNvPr>
            <xdr:cNvSpPr txBox="1"/>
          </xdr:nvSpPr>
          <xdr:spPr>
            <a:xfrm>
              <a:off x="287040" y="2948783"/>
              <a:ext cx="1358834" cy="519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1.44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den>
                    </m:f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E5F060A-3661-3E01-592F-F72DA7ECD091}"/>
                </a:ext>
              </a:extLst>
            </xdr:cNvPr>
            <xdr:cNvSpPr txBox="1"/>
          </xdr:nvSpPr>
          <xdr:spPr>
            <a:xfrm>
              <a:off x="287040" y="2948783"/>
              <a:ext cx="1358834" cy="519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𝑅_𝐴+2𝑅_𝐵=1.44/(𝑓×𝐶)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466081</xdr:colOff>
      <xdr:row>18</xdr:row>
      <xdr:rowOff>141416</xdr:rowOff>
    </xdr:from>
    <xdr:ext cx="1113318" cy="3476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FF5CD746-CEEB-83B9-9D73-11B37BA24B24}"/>
                </a:ext>
              </a:extLst>
            </xdr:cNvPr>
            <xdr:cNvSpPr txBox="1"/>
          </xdr:nvSpPr>
          <xdr:spPr>
            <a:xfrm>
              <a:off x="466081" y="3621980"/>
              <a:ext cx="1113318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1.44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−2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FF5CD746-CEEB-83B9-9D73-11B37BA24B24}"/>
                </a:ext>
              </a:extLst>
            </xdr:cNvPr>
            <xdr:cNvSpPr txBox="1"/>
          </xdr:nvSpPr>
          <xdr:spPr>
            <a:xfrm>
              <a:off x="466081" y="3621980"/>
              <a:ext cx="1113318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𝑅_𝐴=1.44/(𝑓×𝐶)−2𝑅_𝐵</a:t>
              </a:r>
              <a:endParaRPr lang="en-US" sz="1100" b="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321257</xdr:colOff>
      <xdr:row>8</xdr:row>
      <xdr:rowOff>123909</xdr:rowOff>
    </xdr:from>
    <xdr:ext cx="1023806" cy="5373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E0EA9C3-6E2F-2786-083C-A7CB4DD0C2B6}"/>
                </a:ext>
              </a:extLst>
            </xdr:cNvPr>
            <xdr:cNvSpPr txBox="1"/>
          </xdr:nvSpPr>
          <xdr:spPr>
            <a:xfrm>
              <a:off x="928035" y="1697298"/>
              <a:ext cx="1023806" cy="5373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1.44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𝑝𝑜𝑡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den>
                    </m:f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E0EA9C3-6E2F-2786-083C-A7CB4DD0C2B6}"/>
                </a:ext>
              </a:extLst>
            </xdr:cNvPr>
            <xdr:cNvSpPr txBox="1"/>
          </xdr:nvSpPr>
          <xdr:spPr>
            <a:xfrm>
              <a:off x="928035" y="1697298"/>
              <a:ext cx="1023806" cy="5373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𝑓=1.44/(𝑅_𝑝𝑜𝑡∗𝐶)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assive-components.eu/buck-converter-design-and-calculatio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9299-9FD8-423E-B8F6-B220C94C4CA7}">
  <dimension ref="A1:J17"/>
  <sheetViews>
    <sheetView zoomScale="145" zoomScaleNormal="145" workbookViewId="0">
      <selection activeCell="H13" sqref="H13"/>
    </sheetView>
  </sheetViews>
  <sheetFormatPr defaultRowHeight="15" x14ac:dyDescent="0.25"/>
  <cols>
    <col min="1" max="1" width="13.85546875" customWidth="1"/>
    <col min="2" max="2" width="30.140625" customWidth="1"/>
    <col min="7" max="7" width="24.140625" customWidth="1"/>
    <col min="8" max="8" width="15.28515625" customWidth="1"/>
  </cols>
  <sheetData>
    <row r="1" spans="1:10" x14ac:dyDescent="0.25">
      <c r="A1" t="s">
        <v>8</v>
      </c>
      <c r="B1" s="2" t="s">
        <v>9</v>
      </c>
    </row>
    <row r="2" spans="1:10" ht="24" x14ac:dyDescent="0.4">
      <c r="B2" s="6" t="s">
        <v>56</v>
      </c>
      <c r="C2" s="6"/>
      <c r="D2" s="6"/>
      <c r="E2" s="6"/>
      <c r="F2" s="6"/>
      <c r="G2" s="6"/>
      <c r="H2" s="6"/>
      <c r="I2" s="6"/>
      <c r="J2" s="6"/>
    </row>
    <row r="3" spans="1:10" x14ac:dyDescent="0.25">
      <c r="B3" s="7" t="s">
        <v>30</v>
      </c>
      <c r="C3" s="7"/>
      <c r="D3" s="7"/>
      <c r="G3" s="7" t="s">
        <v>31</v>
      </c>
      <c r="H3" s="7"/>
      <c r="I3" s="7"/>
      <c r="J3" s="7"/>
    </row>
    <row r="4" spans="1:10" x14ac:dyDescent="0.25">
      <c r="B4" s="1" t="s">
        <v>25</v>
      </c>
      <c r="C4" s="1" t="s">
        <v>26</v>
      </c>
      <c r="D4" s="1" t="s">
        <v>27</v>
      </c>
      <c r="G4" s="1" t="s">
        <v>7</v>
      </c>
      <c r="H4" s="12">
        <f>(C6+C9)/(C5+C9)</f>
        <v>0.59839357429718876</v>
      </c>
      <c r="I4" s="12"/>
      <c r="J4" s="12"/>
    </row>
    <row r="5" spans="1:10" x14ac:dyDescent="0.25">
      <c r="B5" s="1" t="s">
        <v>0</v>
      </c>
      <c r="C5" s="1">
        <v>12</v>
      </c>
      <c r="D5" s="1" t="s">
        <v>4</v>
      </c>
      <c r="G5" s="12" t="s">
        <v>17</v>
      </c>
      <c r="H5" s="12"/>
      <c r="I5" s="12"/>
      <c r="J5" s="12"/>
    </row>
    <row r="6" spans="1:10" x14ac:dyDescent="0.25">
      <c r="B6" s="1" t="s">
        <v>1</v>
      </c>
      <c r="C6" s="1">
        <v>7</v>
      </c>
      <c r="D6" s="1" t="s">
        <v>4</v>
      </c>
      <c r="G6" s="1" t="s">
        <v>11</v>
      </c>
      <c r="H6" s="1">
        <f>((C6+C9)/(C10*C7*C8))*(1-H4)</f>
        <v>8.5484796328169825E-5</v>
      </c>
      <c r="I6" s="1">
        <f>H6*POWER(10,6)</f>
        <v>85.484796328169821</v>
      </c>
      <c r="J6" s="1" t="s">
        <v>32</v>
      </c>
    </row>
    <row r="7" spans="1:10" x14ac:dyDescent="0.25">
      <c r="B7" s="1" t="s">
        <v>2</v>
      </c>
      <c r="C7" s="1">
        <v>1</v>
      </c>
      <c r="D7" s="1" t="s">
        <v>6</v>
      </c>
      <c r="G7" s="1" t="s">
        <v>12</v>
      </c>
      <c r="H7" s="12">
        <f>((C5-C6)/(H6*C8))*H4</f>
        <v>0.35</v>
      </c>
      <c r="I7" s="12"/>
      <c r="J7" s="1" t="s">
        <v>6</v>
      </c>
    </row>
    <row r="8" spans="1:10" x14ac:dyDescent="0.25">
      <c r="B8" s="1" t="s">
        <v>3</v>
      </c>
      <c r="C8" s="1">
        <v>100000</v>
      </c>
      <c r="D8" s="1" t="s">
        <v>5</v>
      </c>
      <c r="G8" s="1" t="s">
        <v>13</v>
      </c>
      <c r="H8" s="12">
        <f>C7+H7/2</f>
        <v>1.175</v>
      </c>
      <c r="I8" s="12"/>
      <c r="J8" s="1" t="s">
        <v>6</v>
      </c>
    </row>
    <row r="9" spans="1:10" x14ac:dyDescent="0.25">
      <c r="B9" s="1" t="s">
        <v>44</v>
      </c>
      <c r="C9" s="1">
        <v>0.45</v>
      </c>
      <c r="D9" s="1" t="s">
        <v>4</v>
      </c>
      <c r="G9" s="12" t="s">
        <v>28</v>
      </c>
      <c r="H9" s="12"/>
      <c r="I9" s="12"/>
      <c r="J9" s="12"/>
    </row>
    <row r="10" spans="1:10" x14ac:dyDescent="0.25">
      <c r="B10" s="1" t="s">
        <v>10</v>
      </c>
      <c r="C10" s="1">
        <v>0.35</v>
      </c>
      <c r="D10" s="1"/>
      <c r="G10" s="1" t="s">
        <v>14</v>
      </c>
      <c r="H10" s="12">
        <f>SQRT((POWER(C7,2)/4)+(POWER(H7,2)/12)*H4)</f>
        <v>0.50607173510378001</v>
      </c>
      <c r="I10" s="12"/>
      <c r="J10" s="1" t="s">
        <v>6</v>
      </c>
    </row>
    <row r="11" spans="1:10" x14ac:dyDescent="0.25">
      <c r="B11" s="1" t="s">
        <v>15</v>
      </c>
      <c r="C11" s="1">
        <f>C6*4/100</f>
        <v>0.28000000000000003</v>
      </c>
      <c r="D11" s="1" t="s">
        <v>4</v>
      </c>
      <c r="G11" s="8" t="s">
        <v>24</v>
      </c>
      <c r="H11" s="9"/>
      <c r="I11" s="9"/>
      <c r="J11" s="10"/>
    </row>
    <row r="12" spans="1:10" x14ac:dyDescent="0.25">
      <c r="B12" s="1"/>
      <c r="C12" s="1"/>
      <c r="D12" s="1"/>
      <c r="G12" s="11" t="s">
        <v>19</v>
      </c>
      <c r="H12" s="11"/>
      <c r="I12" s="11"/>
      <c r="J12" s="11"/>
    </row>
    <row r="13" spans="1:10" x14ac:dyDescent="0.25">
      <c r="B13" s="1" t="s">
        <v>22</v>
      </c>
      <c r="C13" s="1">
        <v>0.1</v>
      </c>
      <c r="D13" s="1" t="s">
        <v>4</v>
      </c>
      <c r="G13" s="1" t="s">
        <v>18</v>
      </c>
      <c r="H13" s="1">
        <f>H7/(8*C8*C11)</f>
        <v>1.5624999999999997E-6</v>
      </c>
      <c r="I13" s="1">
        <f>H13*POWER(10,6)</f>
        <v>1.5624999999999996</v>
      </c>
      <c r="J13" s="1" t="s">
        <v>16</v>
      </c>
    </row>
    <row r="14" spans="1:10" x14ac:dyDescent="0.25">
      <c r="G14" s="11" t="s">
        <v>20</v>
      </c>
      <c r="H14" s="11"/>
      <c r="I14" s="11"/>
      <c r="J14" s="11"/>
    </row>
    <row r="15" spans="1:10" x14ac:dyDescent="0.25">
      <c r="G15" s="1" t="s">
        <v>21</v>
      </c>
      <c r="H15" s="1">
        <f>50/100*C7</f>
        <v>0.5</v>
      </c>
      <c r="I15" s="1"/>
      <c r="J15" s="1" t="s">
        <v>6</v>
      </c>
    </row>
    <row r="16" spans="1:10" x14ac:dyDescent="0.25">
      <c r="G16" s="1" t="s">
        <v>29</v>
      </c>
      <c r="H16" s="1">
        <f>(H6*POWER(H15,2))/(2*C6*C13)</f>
        <v>1.5265142201458894E-5</v>
      </c>
      <c r="I16" s="1">
        <f>H16*POWER(10,6)</f>
        <v>15.265142201458895</v>
      </c>
      <c r="J16" s="1" t="s">
        <v>16</v>
      </c>
    </row>
    <row r="17" spans="7:10" x14ac:dyDescent="0.25">
      <c r="G17" s="1" t="s">
        <v>23</v>
      </c>
      <c r="H17" s="1">
        <f>H7/SQRT(12)</f>
        <v>0.10103629710818451</v>
      </c>
      <c r="I17" s="1"/>
      <c r="J17" s="1" t="s">
        <v>6</v>
      </c>
    </row>
  </sheetData>
  <mergeCells count="12">
    <mergeCell ref="B2:J2"/>
    <mergeCell ref="B3:D3"/>
    <mergeCell ref="G3:J3"/>
    <mergeCell ref="G11:J11"/>
    <mergeCell ref="G14:J14"/>
    <mergeCell ref="G5:J5"/>
    <mergeCell ref="H4:J4"/>
    <mergeCell ref="H7:I7"/>
    <mergeCell ref="H8:I8"/>
    <mergeCell ref="H10:I10"/>
    <mergeCell ref="G9:J9"/>
    <mergeCell ref="G12:J12"/>
  </mergeCells>
  <hyperlinks>
    <hyperlink ref="B1" r:id="rId1" xr:uid="{64A9E50E-0FEC-49FD-BD32-10E1F68A230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9915-6420-4046-B40D-7FB2822413EC}">
  <dimension ref="B2:H14"/>
  <sheetViews>
    <sheetView zoomScale="133" workbookViewId="0">
      <selection activeCell="E29" sqref="E29"/>
    </sheetView>
  </sheetViews>
  <sheetFormatPr defaultRowHeight="15" x14ac:dyDescent="0.25"/>
  <cols>
    <col min="7" max="7" width="12.85546875" bestFit="1" customWidth="1"/>
    <col min="18" max="18" width="10.7109375" bestFit="1" customWidth="1"/>
  </cols>
  <sheetData>
    <row r="2" spans="2:8" ht="18.75" x14ac:dyDescent="0.3">
      <c r="B2" s="13" t="s">
        <v>46</v>
      </c>
      <c r="C2" s="13"/>
      <c r="D2" s="13"/>
      <c r="E2" s="13"/>
      <c r="F2" s="13"/>
      <c r="G2" s="13"/>
      <c r="H2" s="13"/>
    </row>
    <row r="3" spans="2:8" x14ac:dyDescent="0.25">
      <c r="B3" s="7" t="s">
        <v>33</v>
      </c>
      <c r="C3" s="7"/>
      <c r="D3" s="7"/>
      <c r="F3" s="7" t="s">
        <v>40</v>
      </c>
      <c r="G3" s="7"/>
      <c r="H3" s="7"/>
    </row>
    <row r="4" spans="2:8" x14ac:dyDescent="0.25">
      <c r="B4" s="1" t="s">
        <v>37</v>
      </c>
      <c r="C4" s="1" t="s">
        <v>26</v>
      </c>
      <c r="D4" s="1" t="s">
        <v>27</v>
      </c>
      <c r="F4" s="1" t="s">
        <v>37</v>
      </c>
      <c r="G4" s="1" t="s">
        <v>26</v>
      </c>
      <c r="H4" s="1" t="s">
        <v>27</v>
      </c>
    </row>
    <row r="5" spans="2:8" x14ac:dyDescent="0.25">
      <c r="B5" s="1" t="s">
        <v>34</v>
      </c>
      <c r="C5" s="1">
        <v>100000</v>
      </c>
      <c r="D5" s="1" t="s">
        <v>5</v>
      </c>
      <c r="F5" s="1" t="s">
        <v>35</v>
      </c>
      <c r="G5" s="1">
        <f>C6/POWER(10,9)</f>
        <v>1.0000000000000001E-9</v>
      </c>
      <c r="H5" s="1" t="s">
        <v>42</v>
      </c>
    </row>
    <row r="6" spans="2:8" x14ac:dyDescent="0.25">
      <c r="B6" s="1" t="s">
        <v>35</v>
      </c>
      <c r="C6" s="1">
        <v>1</v>
      </c>
      <c r="D6" s="1" t="s">
        <v>36</v>
      </c>
      <c r="F6" s="1" t="s">
        <v>43</v>
      </c>
      <c r="G6" s="1">
        <f>((1.44/(C5*G5))-2*C7)</f>
        <v>10399.999999999998</v>
      </c>
      <c r="H6" s="1" t="s">
        <v>39</v>
      </c>
    </row>
    <row r="7" spans="2:8" x14ac:dyDescent="0.25">
      <c r="B7" s="1" t="s">
        <v>38</v>
      </c>
      <c r="C7" s="1">
        <v>2000</v>
      </c>
      <c r="D7" s="1" t="s">
        <v>39</v>
      </c>
      <c r="F7" s="1" t="s">
        <v>49</v>
      </c>
      <c r="G7" s="1">
        <f>0.693*(G6+C7)*G5</f>
        <v>8.5931999999999993E-6</v>
      </c>
      <c r="H7" s="1" t="s">
        <v>51</v>
      </c>
    </row>
    <row r="8" spans="2:8" x14ac:dyDescent="0.25">
      <c r="F8" s="1" t="s">
        <v>50</v>
      </c>
      <c r="G8" s="1">
        <f>0.693*(C7)*G5</f>
        <v>1.3860000000000002E-6</v>
      </c>
      <c r="H8" s="1" t="s">
        <v>51</v>
      </c>
    </row>
    <row r="9" spans="2:8" x14ac:dyDescent="0.25">
      <c r="F9" s="1" t="s">
        <v>52</v>
      </c>
      <c r="G9" s="1">
        <f>(G6+C7)/(G6+2*C7)</f>
        <v>0.86111111111111105</v>
      </c>
      <c r="H9" s="1"/>
    </row>
    <row r="13" spans="2:8" x14ac:dyDescent="0.25">
      <c r="F13" s="7" t="s">
        <v>45</v>
      </c>
      <c r="G13" s="7"/>
      <c r="H13" s="7"/>
    </row>
    <row r="14" spans="2:8" x14ac:dyDescent="0.25">
      <c r="F14" s="1" t="s">
        <v>41</v>
      </c>
      <c r="G14" s="1">
        <f>1.44/((G6+2*C7)*G5)</f>
        <v>100000</v>
      </c>
      <c r="H14" s="1" t="s">
        <v>5</v>
      </c>
    </row>
  </sheetData>
  <mergeCells count="4">
    <mergeCell ref="B3:D3"/>
    <mergeCell ref="F3:H3"/>
    <mergeCell ref="F13:H13"/>
    <mergeCell ref="B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952D-3258-4498-8D93-4DA08EF97F93}">
  <dimension ref="B2:P10"/>
  <sheetViews>
    <sheetView tabSelected="1" zoomScale="135" workbookViewId="0">
      <selection activeCell="D7" sqref="D7"/>
    </sheetView>
  </sheetViews>
  <sheetFormatPr defaultRowHeight="15" x14ac:dyDescent="0.25"/>
  <cols>
    <col min="16" max="16" width="11.5703125" bestFit="1" customWidth="1"/>
  </cols>
  <sheetData>
    <row r="2" spans="2:16" ht="18.75" x14ac:dyDescent="0.3">
      <c r="B2" s="13" t="s">
        <v>47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2:16" x14ac:dyDescent="0.25">
      <c r="B3" s="7" t="s">
        <v>33</v>
      </c>
      <c r="C3" s="7"/>
      <c r="D3" s="7"/>
      <c r="F3" s="7" t="s">
        <v>40</v>
      </c>
      <c r="G3" s="7"/>
      <c r="H3" s="7"/>
      <c r="J3" s="7" t="s">
        <v>53</v>
      </c>
      <c r="K3" s="7"/>
      <c r="L3" s="7"/>
      <c r="M3" s="7"/>
      <c r="N3" s="7"/>
      <c r="O3" s="7"/>
      <c r="P3" s="7"/>
    </row>
    <row r="4" spans="2:16" x14ac:dyDescent="0.25">
      <c r="B4" s="1" t="s">
        <v>37</v>
      </c>
      <c r="C4" s="1" t="s">
        <v>26</v>
      </c>
      <c r="D4" s="1" t="s">
        <v>27</v>
      </c>
      <c r="F4" s="1" t="s">
        <v>37</v>
      </c>
      <c r="G4" s="1" t="s">
        <v>26</v>
      </c>
      <c r="H4" s="1" t="s">
        <v>27</v>
      </c>
      <c r="J4" s="14" t="s">
        <v>33</v>
      </c>
      <c r="K4" s="14"/>
      <c r="L4" s="14"/>
      <c r="N4" s="14" t="s">
        <v>40</v>
      </c>
      <c r="O4" s="14"/>
      <c r="P4" s="14"/>
    </row>
    <row r="5" spans="2:16" x14ac:dyDescent="0.25">
      <c r="B5" s="1" t="s">
        <v>34</v>
      </c>
      <c r="C5" s="1">
        <v>100000</v>
      </c>
      <c r="D5" s="1" t="s">
        <v>5</v>
      </c>
      <c r="F5" s="1" t="s">
        <v>35</v>
      </c>
      <c r="G5" s="1">
        <f>C6/POWER(10,12)</f>
        <v>7.5E-11</v>
      </c>
      <c r="H5" s="1" t="s">
        <v>42</v>
      </c>
      <c r="J5" s="1" t="s">
        <v>54</v>
      </c>
      <c r="K5" s="1">
        <v>5000</v>
      </c>
      <c r="L5" s="1" t="s">
        <v>39</v>
      </c>
      <c r="N5" s="1" t="s">
        <v>48</v>
      </c>
      <c r="O5" s="5">
        <f>G6</f>
        <v>192000</v>
      </c>
      <c r="P5" s="1" t="s">
        <v>39</v>
      </c>
    </row>
    <row r="6" spans="2:16" x14ac:dyDescent="0.25">
      <c r="B6" s="3" t="s">
        <v>35</v>
      </c>
      <c r="C6" s="3">
        <v>75</v>
      </c>
      <c r="D6" s="3" t="s">
        <v>57</v>
      </c>
      <c r="F6" s="1" t="s">
        <v>48</v>
      </c>
      <c r="G6" s="1">
        <f>1.44/(G5*C5)</f>
        <v>192000</v>
      </c>
      <c r="H6" s="1" t="s">
        <v>39</v>
      </c>
      <c r="N6" s="1" t="s">
        <v>55</v>
      </c>
      <c r="O6" s="1">
        <f>O5-K5</f>
        <v>187000</v>
      </c>
      <c r="P6" s="1" t="s">
        <v>39</v>
      </c>
    </row>
    <row r="7" spans="2:16" x14ac:dyDescent="0.25">
      <c r="B7" s="4"/>
      <c r="C7" s="4"/>
      <c r="D7" s="4"/>
      <c r="N7" s="1" t="s">
        <v>49</v>
      </c>
      <c r="O7" s="1">
        <f>0.693*K5*G5</f>
        <v>2.5987499999999999E-7</v>
      </c>
      <c r="P7" s="1" t="s">
        <v>51</v>
      </c>
    </row>
    <row r="8" spans="2:16" x14ac:dyDescent="0.25">
      <c r="N8" s="1" t="s">
        <v>50</v>
      </c>
      <c r="O8" s="1">
        <f>0.693*O6*G5</f>
        <v>9.7193249999999986E-6</v>
      </c>
      <c r="P8" s="1" t="s">
        <v>51</v>
      </c>
    </row>
    <row r="9" spans="2:16" x14ac:dyDescent="0.25">
      <c r="F9" s="7" t="s">
        <v>45</v>
      </c>
      <c r="G9" s="7"/>
      <c r="H9" s="7"/>
      <c r="N9" s="1" t="s">
        <v>52</v>
      </c>
      <c r="O9" s="1">
        <f>K5/(K5+O6)</f>
        <v>2.6041666666666668E-2</v>
      </c>
      <c r="P9" s="1"/>
    </row>
    <row r="10" spans="2:16" x14ac:dyDescent="0.25">
      <c r="F10" s="1" t="s">
        <v>41</v>
      </c>
      <c r="G10" s="1">
        <f>1.44/((G6+2*C7)*G5)</f>
        <v>100000</v>
      </c>
      <c r="H10" s="1" t="s">
        <v>5</v>
      </c>
    </row>
  </sheetData>
  <mergeCells count="7">
    <mergeCell ref="B2:P2"/>
    <mergeCell ref="B3:D3"/>
    <mergeCell ref="F3:H3"/>
    <mergeCell ref="F9:H9"/>
    <mergeCell ref="J3:P3"/>
    <mergeCell ref="J4:L4"/>
    <mergeCell ref="N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BUCK</vt:lpstr>
      <vt:lpstr>NE555 (Astable Mode)</vt:lpstr>
      <vt:lpstr>NE555 (PWM Mode)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Bramantara</dc:creator>
  <cp:lastModifiedBy>Nino Bramantara</cp:lastModifiedBy>
  <dcterms:created xsi:type="dcterms:W3CDTF">2026-06-18T01:54:34Z</dcterms:created>
  <dcterms:modified xsi:type="dcterms:W3CDTF">2026-06-20T01:31:20Z</dcterms:modified>
</cp:coreProperties>
</file>